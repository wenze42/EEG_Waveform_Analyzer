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器件清单_BOM" sheetId="1" state="visible" r:id="rId1"/>
    <sheet name="接线表_Wiring" sheetId="2" state="visible" r:id="rId2"/>
    <sheet name="频段配置_B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  <font>
      <name val="Arial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AF2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1F4E79"/>
      </top>
      <bottom style="thin">
        <color rgb="00D9DE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right" vertical="center"/>
    </xf>
    <xf numFmtId="0" fontId="6" fillId="6" borderId="2" pivotButton="0" quotePrefix="0" xfId="0"/>
    <xf numFmtId="164" fontId="6" fillId="6" borderId="2" applyAlignment="1" pivotButton="0" quotePrefix="0" xfId="0">
      <alignment horizontal="right" vertical="center"/>
    </xf>
    <xf numFmtId="0" fontId="5" fillId="0" borderId="0" pivotButton="0" quotePrefix="0" xfId="0"/>
    <xf numFmtId="0" fontId="7" fillId="0" borderId="0" pivotButton="0" quotePrefix="0" xfId="0"/>
    <xf numFmtId="165" fontId="4" fillId="3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32" customWidth="1" min="4" max="4"/>
    <col width="6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脑波监测器 - 器件清单 (BOM)</t>
        </is>
      </c>
    </row>
    <row r="2">
      <c r="A2" s="2" t="inlineStr">
        <is>
          <t>项目: STM32 + AD8232 单通道 EEG 监测器 | 采样率 250Hz | 仅供参考, 非医疗级</t>
        </is>
      </c>
    </row>
    <row r="4">
      <c r="A4" s="3" t="inlineStr">
        <is>
          <t>序号</t>
        </is>
      </c>
      <c r="B4" s="3" t="inlineStr">
        <is>
          <t>分类</t>
        </is>
      </c>
      <c r="C4" s="3" t="inlineStr">
        <is>
          <t>器件名称</t>
        </is>
      </c>
      <c r="D4" s="3" t="inlineStr">
        <is>
          <t>规格参数</t>
        </is>
      </c>
      <c r="E4" s="3" t="inlineStr">
        <is>
          <t>数量</t>
        </is>
      </c>
      <c r="F4" s="3" t="inlineStr">
        <is>
          <t>位号/参考</t>
        </is>
      </c>
      <c r="G4" s="3" t="inlineStr">
        <is>
          <t>参考单价(USD)</t>
        </is>
      </c>
      <c r="H4" s="3" t="inlineStr">
        <is>
          <t>小计(USD)</t>
        </is>
      </c>
      <c r="I4" s="3" t="inlineStr">
        <is>
          <t>备注</t>
        </is>
      </c>
    </row>
    <row r="5">
      <c r="A5" s="4" t="n">
        <v>1</v>
      </c>
      <c r="B5" s="4" t="inlineStr">
        <is>
          <t>主控</t>
        </is>
      </c>
      <c r="C5" s="5" t="inlineStr">
        <is>
          <t>STM32F103C8T6</t>
        </is>
      </c>
      <c r="D5" s="5" t="inlineStr">
        <is>
          <t>Blue Pill, 72MHz, 12-bit ADC, 64KB Flash</t>
        </is>
      </c>
      <c r="E5" s="4" t="n">
        <v>1</v>
      </c>
      <c r="F5" s="4" t="inlineStr">
        <is>
          <t>U1</t>
        </is>
      </c>
      <c r="G5" s="6" t="n">
        <v>2.5</v>
      </c>
      <c r="H5" s="7">
        <f>E5*G5</f>
        <v/>
      </c>
      <c r="I5" s="5" t="inlineStr">
        <is>
          <t>核心 MCU, USART1 + ADC1</t>
        </is>
      </c>
    </row>
    <row r="6">
      <c r="A6" s="8" t="n">
        <v>2</v>
      </c>
      <c r="B6" s="8" t="inlineStr">
        <is>
          <t>模拟前端</t>
        </is>
      </c>
      <c r="C6" s="9" t="inlineStr">
        <is>
          <t>AD8232</t>
        </is>
      </c>
      <c r="D6" s="9" t="inlineStr">
        <is>
          <t>单电源心电/脑电 AFE, 仪表放大+HP/LP</t>
        </is>
      </c>
      <c r="E6" s="8" t="n">
        <v>1</v>
      </c>
      <c r="F6" s="8" t="inlineStr">
        <is>
          <t>U2</t>
        </is>
      </c>
      <c r="G6" s="10" t="n">
        <v>7.5</v>
      </c>
      <c r="H6" s="7">
        <f>E6*G6</f>
        <v/>
      </c>
      <c r="I6" s="9" t="inlineStr">
        <is>
          <t>集成导联脱落检测, 非医疗级</t>
        </is>
      </c>
    </row>
    <row r="7">
      <c r="A7" s="4" t="n">
        <v>3</v>
      </c>
      <c r="B7" s="4" t="inlineStr">
        <is>
          <t>电极</t>
        </is>
      </c>
      <c r="C7" s="5" t="inlineStr">
        <is>
          <t>Ag/AgCl 电极</t>
        </is>
      </c>
      <c r="D7" s="5" t="inlineStr">
        <is>
          <t>杯状或一次性, 含导电膏</t>
        </is>
      </c>
      <c r="E7" s="4" t="n">
        <v>3</v>
      </c>
      <c r="F7" s="4" t="inlineStr">
        <is>
          <t>RA/LA/RL</t>
        </is>
      </c>
      <c r="G7" s="6" t="n">
        <v>0.8</v>
      </c>
      <c r="H7" s="7">
        <f>E7*G7</f>
        <v/>
      </c>
      <c r="I7" s="5" t="inlineStr">
        <is>
          <t>右臂/左臂/右腿(参考)</t>
        </is>
      </c>
    </row>
    <row r="8">
      <c r="A8" s="8" t="n">
        <v>4</v>
      </c>
      <c r="B8" s="8" t="inlineStr">
        <is>
          <t>导联线</t>
        </is>
      </c>
      <c r="C8" s="9" t="inlineStr">
        <is>
          <t>屏蔽导联线套件</t>
        </is>
      </c>
      <c r="D8" s="9" t="inlineStr">
        <is>
          <t>按扣或 DIN 接口, ~1m, 屏蔽</t>
        </is>
      </c>
      <c r="E8" s="8" t="n">
        <v>1</v>
      </c>
      <c r="F8" s="8" t="inlineStr">
        <is>
          <t>J1</t>
        </is>
      </c>
      <c r="G8" s="10" t="n">
        <v>3</v>
      </c>
      <c r="H8" s="7">
        <f>E8*G8</f>
        <v/>
      </c>
      <c r="I8" s="9" t="inlineStr">
        <is>
          <t>匹配电极连接器</t>
        </is>
      </c>
    </row>
    <row r="9">
      <c r="A9" s="4" t="n">
        <v>5</v>
      </c>
      <c r="B9" s="4" t="inlineStr">
        <is>
          <t>耗材</t>
        </is>
      </c>
      <c r="C9" s="5" t="inlineStr">
        <is>
          <t>导电膏</t>
        </is>
      </c>
      <c r="D9" s="5" t="inlineStr">
        <is>
          <t>Ten20 或等效</t>
        </is>
      </c>
      <c r="E9" s="4" t="n">
        <v>1</v>
      </c>
      <c r="F9" s="4" t="inlineStr">
        <is>
          <t>-</t>
        </is>
      </c>
      <c r="G9" s="6" t="n">
        <v>5</v>
      </c>
      <c r="H9" s="7">
        <f>E9*G9</f>
        <v/>
      </c>
      <c r="I9" s="5" t="inlineStr">
        <is>
          <t>改善皮肤接触阻抗</t>
        </is>
      </c>
    </row>
    <row r="10">
      <c r="A10" s="8" t="n">
        <v>6</v>
      </c>
      <c r="B10" s="8" t="inlineStr">
        <is>
          <t>通信</t>
        </is>
      </c>
      <c r="C10" s="9" t="inlineStr">
        <is>
          <t>USB-TTL 串口适配器</t>
        </is>
      </c>
      <c r="D10" s="9" t="inlineStr">
        <is>
          <t>CP2102/CH340/FT232, 3.3V 逻辑</t>
        </is>
      </c>
      <c r="E10" s="8" t="n">
        <v>1</v>
      </c>
      <c r="F10" s="8" t="inlineStr">
        <is>
          <t>J2</t>
        </is>
      </c>
      <c r="G10" s="10" t="n">
        <v>1.5</v>
      </c>
      <c r="H10" s="7">
        <f>E10*G10</f>
        <v/>
      </c>
      <c r="I10" s="9" t="inlineStr">
        <is>
          <t>115200 baud</t>
        </is>
      </c>
    </row>
    <row r="11">
      <c r="A11" s="4" t="n">
        <v>7</v>
      </c>
      <c r="B11" s="4" t="inlineStr">
        <is>
          <t>电源</t>
        </is>
      </c>
      <c r="C11" s="5" t="inlineStr">
        <is>
          <t>USB 5V 或 3.3V LDO 模块</t>
        </is>
      </c>
      <c r="D11" s="5" t="inlineStr">
        <is>
          <t>AMS1117-3.3 或同等</t>
        </is>
      </c>
      <c r="E11" s="4" t="n">
        <v>1</v>
      </c>
      <c r="F11" s="4" t="inlineStr">
        <is>
          <t>U3</t>
        </is>
      </c>
      <c r="G11" s="6" t="n">
        <v>0.3</v>
      </c>
      <c r="H11" s="7">
        <f>E11*G11</f>
        <v/>
      </c>
      <c r="I11" s="5" t="inlineStr">
        <is>
          <t>MCU + AFE 可由 USB 供电</t>
        </is>
      </c>
    </row>
    <row r="12">
      <c r="A12" s="8" t="n">
        <v>8</v>
      </c>
      <c r="B12" s="8" t="inlineStr">
        <is>
          <t>被动元件</t>
        </is>
      </c>
      <c r="C12" s="9" t="inlineStr">
        <is>
          <t>去耦电容</t>
        </is>
      </c>
      <c r="D12" s="9" t="inlineStr">
        <is>
          <t>100nF + 10uF</t>
        </is>
      </c>
      <c r="E12" s="8" t="n">
        <v>2</v>
      </c>
      <c r="F12" s="8" t="inlineStr">
        <is>
          <t>C1,C2</t>
        </is>
      </c>
      <c r="G12" s="10" t="n">
        <v>0.1</v>
      </c>
      <c r="H12" s="7">
        <f>E12*G12</f>
        <v/>
      </c>
      <c r="I12" s="9" t="inlineStr">
        <is>
          <t>AD8232 Vcc/GND 并联</t>
        </is>
      </c>
    </row>
    <row r="13">
      <c r="A13" s="4" t="n">
        <v>9</v>
      </c>
      <c r="B13" s="4" t="inlineStr">
        <is>
          <t>指示</t>
        </is>
      </c>
      <c r="C13" s="5" t="inlineStr">
        <is>
          <t>状态 LED</t>
        </is>
      </c>
      <c r="D13" s="5" t="inlineStr">
        <is>
          <t>PC13 板载 LED</t>
        </is>
      </c>
      <c r="E13" s="4" t="n">
        <v>1</v>
      </c>
      <c r="F13" s="4" t="inlineStr">
        <is>
          <t>D1</t>
        </is>
      </c>
      <c r="G13" s="6" t="n">
        <v>0.05</v>
      </c>
      <c r="H13" s="7">
        <f>E13*G13</f>
        <v/>
      </c>
      <c r="I13" s="5" t="inlineStr">
        <is>
          <t>Blue Pill 已集成, 每帧翻转</t>
        </is>
      </c>
    </row>
    <row r="14">
      <c r="A14" s="8" t="n">
        <v>10</v>
      </c>
      <c r="B14" s="8" t="inlineStr">
        <is>
          <t>被动元件</t>
        </is>
      </c>
      <c r="C14" s="9" t="inlineStr">
        <is>
          <t>BOOT0 下拉电阻(可选)</t>
        </is>
      </c>
      <c r="D14" s="9" t="inlineStr">
        <is>
          <t>10kΩ 0805</t>
        </is>
      </c>
      <c r="E14" s="8" t="n">
        <v>1</v>
      </c>
      <c r="F14" s="8" t="inlineStr">
        <is>
          <t>R1</t>
        </is>
      </c>
      <c r="G14" s="10" t="n">
        <v>0.02</v>
      </c>
      <c r="H14" s="7">
        <f>E14*G14</f>
        <v/>
      </c>
      <c r="I14" s="9" t="inlineStr">
        <is>
          <t>裸板复用时需要</t>
        </is>
      </c>
    </row>
    <row r="15">
      <c r="A15" s="11" t="inlineStr">
        <is>
          <t>合计</t>
        </is>
      </c>
      <c r="B15" s="12" t="n"/>
      <c r="C15" s="12" t="n"/>
      <c r="D15" s="12" t="n"/>
      <c r="E15" s="12" t="n"/>
      <c r="F15" s="12" t="n"/>
      <c r="G15" s="12" t="n"/>
      <c r="H15" s="13">
        <f>SUM(H5:H14)</f>
        <v/>
      </c>
      <c r="I15" s="12" t="n"/>
    </row>
  </sheetData>
  <mergeCells count="3">
    <mergeCell ref="A1:I1"/>
    <mergeCell ref="A2:I2"/>
    <mergeCell ref="A15:G1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2" customWidth="1" min="4" max="4"/>
    <col width="26" customWidth="1" min="5" max="5"/>
  </cols>
  <sheetData>
    <row r="1">
      <c r="A1" s="1" t="inlineStr">
        <is>
          <t>脑波监测器 - 接线表 (Wiring)</t>
        </is>
      </c>
    </row>
    <row r="3">
      <c r="A3" s="3" t="inlineStr">
        <is>
          <t>STM32F103C8T6</t>
        </is>
      </c>
      <c r="B3" s="3" t="inlineStr">
        <is>
          <t>连接对象</t>
        </is>
      </c>
      <c r="C3" s="3" t="inlineStr">
        <is>
          <t>对方引脚</t>
        </is>
      </c>
      <c r="D3" s="3" t="inlineStr">
        <is>
          <t>功能</t>
        </is>
      </c>
      <c r="E3" s="3" t="inlineStr">
        <is>
          <t>备注</t>
        </is>
      </c>
    </row>
    <row r="4">
      <c r="A4" s="4" t="inlineStr">
        <is>
          <t>3V3</t>
        </is>
      </c>
      <c r="B4" s="4" t="inlineStr">
        <is>
          <t>AD8232</t>
        </is>
      </c>
      <c r="C4" s="4" t="inlineStr">
        <is>
          <t>3.3V (pin 3)</t>
        </is>
      </c>
      <c r="D4" s="5" t="inlineStr">
        <is>
          <t>AFE 供电</t>
        </is>
      </c>
      <c r="E4" s="5" t="inlineStr">
        <is>
          <t>共用 3.3V 电源域</t>
        </is>
      </c>
    </row>
    <row r="5">
      <c r="A5" s="8" t="inlineStr">
        <is>
          <t>GND</t>
        </is>
      </c>
      <c r="B5" s="8" t="inlineStr">
        <is>
          <t>AD8232 / USB-TTL</t>
        </is>
      </c>
      <c r="C5" s="8" t="inlineStr">
        <is>
          <t>GND (pin 2)</t>
        </is>
      </c>
      <c r="D5" s="9" t="inlineStr">
        <is>
          <t>公共地</t>
        </is>
      </c>
      <c r="E5" s="9" t="inlineStr">
        <is>
          <t>单点接地</t>
        </is>
      </c>
    </row>
    <row r="6">
      <c r="A6" s="4" t="inlineStr">
        <is>
          <t>PA0 / ADC1_IN0</t>
        </is>
      </c>
      <c r="B6" s="4" t="inlineStr">
        <is>
          <t>AD8232</t>
        </is>
      </c>
      <c r="C6" s="4" t="inlineStr">
        <is>
          <t>OUTPUT (pin 1)</t>
        </is>
      </c>
      <c r="D6" s="5" t="inlineStr">
        <is>
          <t>EEG 信号输入</t>
        </is>
      </c>
      <c r="E6" s="5" t="inlineStr">
        <is>
          <t>12-bit ADC</t>
        </is>
      </c>
    </row>
    <row r="7">
      <c r="A7" s="8" t="inlineStr">
        <is>
          <t>5V (USB)</t>
        </is>
      </c>
      <c r="B7" s="8" t="inlineStr">
        <is>
          <t>3.3V LDO 模块</t>
        </is>
      </c>
      <c r="C7" s="8" t="inlineStr">
        <is>
          <t>输入</t>
        </is>
      </c>
      <c r="D7" s="9" t="inlineStr">
        <is>
          <t>电源链</t>
        </is>
      </c>
      <c r="E7" s="9" t="inlineStr">
        <is>
          <t>或直接 USB 5V</t>
        </is>
      </c>
    </row>
    <row r="8">
      <c r="A8" s="4" t="inlineStr">
        <is>
          <t>PA9 (USART1_TX)</t>
        </is>
      </c>
      <c r="B8" s="4" t="inlineStr">
        <is>
          <t>USB-TTL</t>
        </is>
      </c>
      <c r="C8" s="4" t="inlineStr">
        <is>
          <t>RXD</t>
        </is>
      </c>
      <c r="D8" s="5" t="inlineStr">
        <is>
          <t>MCU -&gt; PC 数据</t>
        </is>
      </c>
      <c r="E8" s="5" t="inlineStr">
        <is>
          <t>115200-8N1</t>
        </is>
      </c>
    </row>
    <row r="9">
      <c r="A9" s="8" t="inlineStr">
        <is>
          <t>PA10 (USART1_RX)</t>
        </is>
      </c>
      <c r="B9" s="8" t="inlineStr">
        <is>
          <t>USB-TTL</t>
        </is>
      </c>
      <c r="C9" s="8" t="inlineStr">
        <is>
          <t>TXD</t>
        </is>
      </c>
      <c r="D9" s="9" t="inlineStr">
        <is>
          <t>可选(无 RX 用途)</t>
        </is>
      </c>
      <c r="E9" s="9" t="inlineStr">
        <is>
          <t>保留</t>
        </is>
      </c>
    </row>
    <row r="10">
      <c r="A10" s="4" t="inlineStr">
        <is>
          <t>PC13</t>
        </is>
      </c>
      <c r="B10" s="4" t="inlineStr">
        <is>
          <t>板载 LED</t>
        </is>
      </c>
      <c r="C10" s="4" t="inlineStr">
        <is>
          <t>-</t>
        </is>
      </c>
      <c r="D10" s="5" t="inlineStr">
        <is>
          <t>250Hz 帧状态指示</t>
        </is>
      </c>
      <c r="E10" s="5" t="inlineStr">
        <is>
          <t>低电平点亮</t>
        </is>
      </c>
    </row>
    <row r="12">
      <c r="A12" s="14" t="inlineStr">
        <is>
          <t>电极安放 (Einthoven 单通道):</t>
        </is>
      </c>
    </row>
    <row r="13">
      <c r="A13" s="15" t="inlineStr">
        <is>
          <t>RA - 右臂 / LA - 左臂(或枕部 O1/O2 提升α波) / RL - 右腿(驱动参考)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</cols>
  <sheetData>
    <row r="1">
      <c r="A1" s="1" t="inlineStr">
        <is>
          <t>脑波监测器 - EEG 频段配置</t>
        </is>
      </c>
    </row>
    <row r="2">
      <c r="A2" s="2" t="inlineStr">
        <is>
          <t>固件采样率 250Hz | 50Hz 陷波 + 0.5Hz 高通在 host 端 signal_processor.py</t>
        </is>
      </c>
    </row>
    <row r="4">
      <c r="A4" s="3" t="inlineStr">
        <is>
          <t>频段名</t>
        </is>
      </c>
      <c r="B4" s="3" t="inlineStr">
        <is>
          <t>下限 (Hz)</t>
        </is>
      </c>
      <c r="C4" s="3" t="inlineStr">
        <is>
          <t>上限 (Hz)</t>
        </is>
      </c>
      <c r="D4" s="3" t="inlineStr">
        <is>
          <t>典型用途</t>
        </is>
      </c>
    </row>
    <row r="5">
      <c r="A5" s="4" t="inlineStr">
        <is>
          <t>Delta δ</t>
        </is>
      </c>
      <c r="B5" s="16" t="n">
        <v>0.5</v>
      </c>
      <c r="C5" s="16" t="n">
        <v>4</v>
      </c>
      <c r="D5" s="5" t="inlineStr">
        <is>
          <t>深睡眠 / 无意识</t>
        </is>
      </c>
    </row>
    <row r="6">
      <c r="A6" s="8" t="inlineStr">
        <is>
          <t>Theta θ</t>
        </is>
      </c>
      <c r="B6" s="17" t="n">
        <v>4</v>
      </c>
      <c r="C6" s="17" t="n">
        <v>8</v>
      </c>
      <c r="D6" s="9" t="inlineStr">
        <is>
          <t>浅睡眠 / 冥想 / 记忆</t>
        </is>
      </c>
    </row>
    <row r="7">
      <c r="A7" s="4" t="inlineStr">
        <is>
          <t>Alpha α</t>
        </is>
      </c>
      <c r="B7" s="16" t="n">
        <v>8</v>
      </c>
      <c r="C7" s="16" t="n">
        <v>12</v>
      </c>
      <c r="D7" s="5" t="inlineStr">
        <is>
          <t>放松清醒 / 闭眼枕部</t>
        </is>
      </c>
    </row>
    <row r="8">
      <c r="A8" s="8" t="inlineStr">
        <is>
          <t>Beta β</t>
        </is>
      </c>
      <c r="B8" s="17" t="n">
        <v>12</v>
      </c>
      <c r="C8" s="17" t="n">
        <v>30</v>
      </c>
      <c r="D8" s="9" t="inlineStr">
        <is>
          <t>专注 / 活跃思考</t>
        </is>
      </c>
    </row>
    <row r="9">
      <c r="A9" s="4" t="inlineStr">
        <is>
          <t>Gamma γ</t>
        </is>
      </c>
      <c r="B9" s="16" t="n">
        <v>30</v>
      </c>
      <c r="C9" s="16" t="n">
        <v>80</v>
      </c>
      <c r="D9" s="5" t="inlineStr">
        <is>
          <t>高级认知 / 信息整合</t>
        </is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2026-10-12T11:33:54Z</dcterms:created>
  <dcterms:modified xsi:type="dcterms:W3CDTF">2026-10-12T11:33:54Z</dcterms:modified>
</cp:coreProperties>
</file>
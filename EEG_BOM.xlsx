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器件清单_BOM" sheetId="1" state="visible" r:id="rId1"/>
    <sheet name="接线表_Wiring" sheetId="2" state="visible" r:id="rId2"/>
    <sheet name="频段配置_Band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6B7280"/>
      <sz val="9"/>
    </font>
    <font>
      <name val="Arial"/>
      <b val="1"/>
      <color rgb="00991B1B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  <font>
      <name val="Arial"/>
      <b val="1"/>
      <color rgb="00991B1B"/>
      <sz val="10"/>
    </font>
    <font>
      <name val="Arial"/>
      <color rgb="006B7280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EAF2FF"/>
      </patternFill>
    </fill>
    <fill>
      <patternFill patternType="solid">
        <fgColor rgb="00FFF7ED"/>
      </patternFill>
    </fill>
    <fill>
      <patternFill patternType="solid">
        <fgColor rgb="00D6E4F0"/>
      </patternFill>
    </fill>
    <fill>
      <patternFill patternType="solid">
        <fgColor rgb="00FEF2F2"/>
      </patternFill>
    </fill>
  </fills>
  <borders count="3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medium">
        <color rgb="001F4E79"/>
      </top>
      <bottom style="thin">
        <color rgb="00D9DEE7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164" fontId="5" fillId="4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right" vertical="center"/>
    </xf>
    <xf numFmtId="0" fontId="7" fillId="7" borderId="2" pivotButton="0" quotePrefix="0" xfId="0"/>
    <xf numFmtId="164" fontId="7" fillId="7" borderId="2" applyAlignment="1" pivotButton="0" quotePrefix="0" xfId="0">
      <alignment horizontal="right" vertical="center"/>
    </xf>
    <xf numFmtId="0" fontId="8" fillId="0" borderId="0" pivotButton="0" quotePrefix="0" xfId="0"/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6" fillId="0" borderId="0" pivotButton="0" quotePrefix="0" xfId="0"/>
    <xf numFmtId="0" fontId="9" fillId="0" borderId="0" pivotButton="0" quotePrefix="0" xfId="0"/>
    <xf numFmtId="165" fontId="5" fillId="3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32" customWidth="1" min="4" max="4"/>
    <col width="6" customWidth="1" min="5" max="5"/>
    <col width="22" customWidth="1" min="6" max="6"/>
    <col width="14" customWidth="1" min="7" max="7"/>
    <col width="14" customWidth="1" min="8" max="8"/>
    <col width="36" customWidth="1" min="9" max="9"/>
  </cols>
  <sheetData>
    <row r="1">
      <c r="A1" s="1" t="inlineStr">
        <is>
          <t>脑波监测器 - 器件清单 (BOM)</t>
        </is>
      </c>
    </row>
    <row r="2">
      <c r="A2" s="2" t="inlineStr">
        <is>
          <t>项目: STM32 + AD8232 单通道 EEG 监测器 | 采样率 250Hz | 非医疗级,仅供学习验证</t>
        </is>
      </c>
    </row>
    <row r="3">
      <c r="A3" s="3" t="inlineStr">
        <is>
          <t>⚠️ AD8232 SDN 引脚必须接 3V3(否则芯片睡眠无输出),详见接线表第二页</t>
        </is>
      </c>
    </row>
    <row r="5">
      <c r="A5" s="4" t="inlineStr">
        <is>
          <t>序号</t>
        </is>
      </c>
      <c r="B5" s="4" t="inlineStr">
        <is>
          <t>分类</t>
        </is>
      </c>
      <c r="C5" s="4" t="inlineStr">
        <is>
          <t>器件名称</t>
        </is>
      </c>
      <c r="D5" s="4" t="inlineStr">
        <is>
          <t>规格参数</t>
        </is>
      </c>
      <c r="E5" s="4" t="inlineStr">
        <is>
          <t>数量</t>
        </is>
      </c>
      <c r="F5" s="4" t="inlineStr">
        <is>
          <t>位号/参考</t>
        </is>
      </c>
      <c r="G5" s="4" t="inlineStr">
        <is>
          <t>参考单价(USD)</t>
        </is>
      </c>
      <c r="H5" s="4" t="inlineStr">
        <is>
          <t>小计(USD)</t>
        </is>
      </c>
      <c r="I5" s="4" t="inlineStr">
        <is>
          <t>备注</t>
        </is>
      </c>
    </row>
    <row r="6">
      <c r="A6" s="5" t="n">
        <v>1</v>
      </c>
      <c r="B6" s="5" t="inlineStr">
        <is>
          <t>主控</t>
        </is>
      </c>
      <c r="C6" s="6" t="inlineStr">
        <is>
          <t>STM32F103C8T6</t>
        </is>
      </c>
      <c r="D6" s="6" t="inlineStr">
        <is>
          <t>Blue Pill, 72MHz, 12-bit ADC, 64KB Flash</t>
        </is>
      </c>
      <c r="E6" s="5" t="n">
        <v>1</v>
      </c>
      <c r="F6" s="5" t="inlineStr">
        <is>
          <t>U1</t>
        </is>
      </c>
      <c r="G6" s="7" t="n">
        <v>2.5</v>
      </c>
      <c r="H6" s="8">
        <f>E6*G6</f>
        <v/>
      </c>
      <c r="I6" s="6" t="n"/>
    </row>
    <row r="7">
      <c r="A7" s="9" t="n">
        <v>2</v>
      </c>
      <c r="B7" s="9" t="inlineStr">
        <is>
          <t>模拟前端</t>
        </is>
      </c>
      <c r="C7" s="10" t="inlineStr">
        <is>
          <t>AD8232 Heart Monitor 模块</t>
        </is>
      </c>
      <c r="D7" s="10" t="inlineStr">
        <is>
          <t>单电源心电 AFE,仪表放大+HP/LP</t>
        </is>
      </c>
      <c r="E7" s="9" t="n">
        <v>1</v>
      </c>
      <c r="F7" s="9" t="inlineStr">
        <is>
          <t>U2</t>
        </is>
      </c>
      <c r="G7" s="11" t="n">
        <v>7.5</v>
      </c>
      <c r="H7" s="8">
        <f>E7*G7</f>
        <v/>
      </c>
      <c r="I7" s="10" t="n"/>
    </row>
    <row r="8">
      <c r="A8" s="12" t="n">
        <v>3</v>
      </c>
      <c r="B8" s="5" t="inlineStr">
        <is>
          <t>电阻调参(可选)</t>
        </is>
      </c>
      <c r="C8" s="6" t="inlineStr">
        <is>
          <t>增益电阻</t>
        </is>
      </c>
      <c r="D8" s="6" t="inlineStr">
        <is>
          <t>2.2kΩ 0805</t>
        </is>
      </c>
      <c r="E8" s="5" t="n">
        <v>2</v>
      </c>
      <c r="F8" s="5" t="inlineStr">
        <is>
          <t>R5,R6 (板上替换)</t>
        </is>
      </c>
      <c r="G8" s="7" t="n">
        <v>0.02</v>
      </c>
      <c r="H8" s="8">
        <f>E8*G8</f>
        <v/>
      </c>
      <c r="I8" s="6" t="n"/>
    </row>
    <row r="9">
      <c r="A9" s="12" t="n">
        <v>4</v>
      </c>
      <c r="B9" s="9" t="inlineStr">
        <is>
          <t>电阻调参(可选)</t>
        </is>
      </c>
      <c r="C9" s="10" t="inlineStr">
        <is>
          <t>高通电容</t>
        </is>
      </c>
      <c r="D9" s="10" t="inlineStr">
        <is>
          <t>47µF 0805</t>
        </is>
      </c>
      <c r="E9" s="9" t="n">
        <v>1</v>
      </c>
      <c r="F9" s="9" t="inlineStr">
        <is>
          <t>C1 (板上替换)</t>
        </is>
      </c>
      <c r="G9" s="11" t="n">
        <v>0.05</v>
      </c>
      <c r="H9" s="8">
        <f>E9*G9</f>
        <v/>
      </c>
      <c r="I9" s="10" t="n"/>
    </row>
    <row r="10">
      <c r="A10" s="12" t="n">
        <v>5</v>
      </c>
      <c r="B10" s="5" t="inlineStr">
        <is>
          <t>电阻调参(可选)</t>
        </is>
      </c>
      <c r="C10" s="6" t="inlineStr">
        <is>
          <t>电源磁珠 + 电容</t>
        </is>
      </c>
      <c r="D10" s="6" t="inlineStr">
        <is>
          <t>10µH 磁珠 + 100nF 0805</t>
        </is>
      </c>
      <c r="E10" s="5" t="n">
        <v>1</v>
      </c>
      <c r="F10" s="5" t="inlineStr">
        <is>
          <t>板外并联</t>
        </is>
      </c>
      <c r="G10" s="7" t="n">
        <v>0.08</v>
      </c>
      <c r="H10" s="8">
        <f>E10*G10</f>
        <v/>
      </c>
      <c r="I10" s="6" t="n"/>
    </row>
    <row r="11">
      <c r="A11" s="9" t="n">
        <v>6</v>
      </c>
      <c r="B11" s="9" t="inlineStr">
        <is>
          <t>电极</t>
        </is>
      </c>
      <c r="C11" s="10" t="inlineStr">
        <is>
          <t>Ag/AgCl 电极</t>
        </is>
      </c>
      <c r="D11" s="10" t="inlineStr">
        <is>
          <t>杯状或一次性,含导电膏</t>
        </is>
      </c>
      <c r="E11" s="9" t="n">
        <v>3</v>
      </c>
      <c r="F11" s="9" t="inlineStr">
        <is>
          <t>RA/LA/RL</t>
        </is>
      </c>
      <c r="G11" s="11" t="n">
        <v>0.8</v>
      </c>
      <c r="H11" s="8">
        <f>E11*G11</f>
        <v/>
      </c>
      <c r="I11" s="10" t="n"/>
    </row>
    <row r="12">
      <c r="A12" s="5" t="n">
        <v>7</v>
      </c>
      <c r="B12" s="5" t="inlineStr">
        <is>
          <t>导联线</t>
        </is>
      </c>
      <c r="C12" s="6" t="inlineStr">
        <is>
          <t>屏蔽导联线套件</t>
        </is>
      </c>
      <c r="D12" s="6" t="inlineStr">
        <is>
          <t>按扣或 DIN 接口,~1m,屏蔽</t>
        </is>
      </c>
      <c r="E12" s="5" t="n">
        <v>1</v>
      </c>
      <c r="F12" s="5" t="inlineStr">
        <is>
          <t>J1</t>
        </is>
      </c>
      <c r="G12" s="7" t="n">
        <v>3</v>
      </c>
      <c r="H12" s="8">
        <f>E12*G12</f>
        <v/>
      </c>
      <c r="I12" s="6" t="n"/>
    </row>
    <row r="13">
      <c r="A13" s="9" t="n">
        <v>8</v>
      </c>
      <c r="B13" s="9" t="inlineStr">
        <is>
          <t>耗材</t>
        </is>
      </c>
      <c r="C13" s="10" t="inlineStr">
        <is>
          <t>导电膏</t>
        </is>
      </c>
      <c r="D13" s="10" t="inlineStr">
        <is>
          <t>Ten20 或等效</t>
        </is>
      </c>
      <c r="E13" s="9" t="n">
        <v>1</v>
      </c>
      <c r="F13" s="9" t="inlineStr">
        <is>
          <t>-</t>
        </is>
      </c>
      <c r="G13" s="11" t="n">
        <v>5</v>
      </c>
      <c r="H13" s="8">
        <f>E13*G13</f>
        <v/>
      </c>
      <c r="I13" s="10" t="n"/>
    </row>
    <row r="14">
      <c r="A14" s="5" t="n">
        <v>9</v>
      </c>
      <c r="B14" s="5" t="inlineStr">
        <is>
          <t>通信</t>
        </is>
      </c>
      <c r="C14" s="6" t="inlineStr">
        <is>
          <t>USB-TTL 串口适配器</t>
        </is>
      </c>
      <c r="D14" s="6" t="inlineStr">
        <is>
          <t>CP2102/CH340/FT232, 3.3V 逻辑</t>
        </is>
      </c>
      <c r="E14" s="5" t="n">
        <v>1</v>
      </c>
      <c r="F14" s="5" t="inlineStr">
        <is>
          <t>J2</t>
        </is>
      </c>
      <c r="G14" s="7" t="n">
        <v>1.5</v>
      </c>
      <c r="H14" s="8">
        <f>E14*G14</f>
        <v/>
      </c>
      <c r="I14" s="6" t="n"/>
    </row>
    <row r="15">
      <c r="A15" s="9" t="n">
        <v>10</v>
      </c>
      <c r="B15" s="9" t="inlineStr">
        <is>
          <t>电源</t>
        </is>
      </c>
      <c r="C15" s="10" t="inlineStr">
        <is>
          <t>USB 5V 或 3.3V LDO 模块</t>
        </is>
      </c>
      <c r="D15" s="10" t="inlineStr">
        <is>
          <t>AMS1117-3.3 或同等</t>
        </is>
      </c>
      <c r="E15" s="9" t="n">
        <v>1</v>
      </c>
      <c r="F15" s="9" t="inlineStr">
        <is>
          <t>U3</t>
        </is>
      </c>
      <c r="G15" s="11" t="n">
        <v>0.3</v>
      </c>
      <c r="H15" s="8">
        <f>E15*G15</f>
        <v/>
      </c>
      <c r="I15" s="10" t="n"/>
    </row>
    <row r="16">
      <c r="A16" s="5" t="n">
        <v>11</v>
      </c>
      <c r="B16" s="5" t="inlineStr">
        <is>
          <t>被动元件</t>
        </is>
      </c>
      <c r="C16" s="6" t="inlineStr">
        <is>
          <t>去耦电容</t>
        </is>
      </c>
      <c r="D16" s="6" t="inlineStr">
        <is>
          <t>100nF + 10µF</t>
        </is>
      </c>
      <c r="E16" s="5" t="n">
        <v>2</v>
      </c>
      <c r="F16" s="5" t="inlineStr">
        <is>
          <t>C1,C2 (板外)</t>
        </is>
      </c>
      <c r="G16" s="7" t="n">
        <v>0.1</v>
      </c>
      <c r="H16" s="8">
        <f>E16*G16</f>
        <v/>
      </c>
      <c r="I16" s="6" t="n"/>
    </row>
    <row r="17">
      <c r="A17" s="9" t="n">
        <v>12</v>
      </c>
      <c r="B17" s="9" t="inlineStr">
        <is>
          <t>指示</t>
        </is>
      </c>
      <c r="C17" s="10" t="inlineStr">
        <is>
          <t>状态 LED</t>
        </is>
      </c>
      <c r="D17" s="10" t="inlineStr">
        <is>
          <t>PC13 板载 LED</t>
        </is>
      </c>
      <c r="E17" s="9" t="n">
        <v>1</v>
      </c>
      <c r="F17" s="9" t="inlineStr">
        <is>
          <t>D1</t>
        </is>
      </c>
      <c r="G17" s="11" t="n">
        <v>0.05</v>
      </c>
      <c r="H17" s="8">
        <f>E17*G17</f>
        <v/>
      </c>
      <c r="I17" s="10" t="n"/>
    </row>
    <row r="18">
      <c r="A18" s="5" t="n">
        <v>13</v>
      </c>
      <c r="B18" s="5" t="inlineStr">
        <is>
          <t>被动元件</t>
        </is>
      </c>
      <c r="C18" s="6" t="inlineStr">
        <is>
          <t>BOOT0 下拉电阻(可选)</t>
        </is>
      </c>
      <c r="D18" s="6" t="inlineStr">
        <is>
          <t>10kΩ 0805</t>
        </is>
      </c>
      <c r="E18" s="5" t="n">
        <v>1</v>
      </c>
      <c r="F18" s="5" t="inlineStr">
        <is>
          <t>R1</t>
        </is>
      </c>
      <c r="G18" s="7" t="n">
        <v>0.02</v>
      </c>
      <c r="H18" s="8">
        <f>E18*G18</f>
        <v/>
      </c>
      <c r="I18" s="6" t="n"/>
    </row>
    <row r="19">
      <c r="A19" s="13" t="inlineStr">
        <is>
          <t>合计</t>
        </is>
      </c>
      <c r="B19" s="14" t="n"/>
      <c r="C19" s="14" t="n"/>
      <c r="D19" s="14" t="n"/>
      <c r="E19" s="14" t="n"/>
      <c r="F19" s="14" t="n"/>
      <c r="G19" s="14" t="n"/>
      <c r="H19" s="15">
        <f>SUM(H6:H18)</f>
        <v/>
      </c>
      <c r="I19" s="14" t="n"/>
    </row>
  </sheetData>
  <mergeCells count="4">
    <mergeCell ref="A1:I1"/>
    <mergeCell ref="A3:I3"/>
    <mergeCell ref="A19:G19"/>
    <mergeCell ref="A2:I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6" customWidth="1" min="3" max="3"/>
    <col width="36" customWidth="1" min="4" max="4"/>
  </cols>
  <sheetData>
    <row r="1">
      <c r="A1" s="1" t="inlineStr">
        <is>
          <t>脑波监测器 - 接线表 (Wiring)</t>
        </is>
      </c>
    </row>
    <row r="2">
      <c r="A2" s="16" t="inlineStr">
        <is>
          <t>⚠️ SDN 必须接 3V3! AD8232 模块丝印从上到下: GND | 3.3v | OUTPUT | LO- | LO+ | SDN</t>
        </is>
      </c>
    </row>
    <row r="4">
      <c r="A4" s="4" t="inlineStr">
        <is>
          <t>STM32F103C8T6</t>
        </is>
      </c>
      <c r="B4" s="4" t="inlineStr">
        <is>
          <t>AD8232 Heart Monitor 丝印</t>
        </is>
      </c>
      <c r="C4" s="4" t="inlineStr">
        <is>
          <t>功能</t>
        </is>
      </c>
      <c r="D4" s="4" t="inlineStr">
        <is>
          <t>备注</t>
        </is>
      </c>
    </row>
    <row r="5">
      <c r="A5" s="17" t="inlineStr">
        <is>
          <t>3V3</t>
        </is>
      </c>
      <c r="B5" s="17" t="inlineStr">
        <is>
          <t>GND</t>
        </is>
      </c>
      <c r="C5" s="18" t="inlineStr">
        <is>
          <t>公共地(必须共地)</t>
        </is>
      </c>
      <c r="D5" s="18" t="inlineStr">
        <is>
          <t>AD8232 模块最上方引脚</t>
        </is>
      </c>
    </row>
    <row r="6">
      <c r="A6" s="9" t="inlineStr">
        <is>
          <t>3V3</t>
        </is>
      </c>
      <c r="B6" s="9" t="inlineStr">
        <is>
          <t>3.3v</t>
        </is>
      </c>
      <c r="C6" s="19" t="inlineStr">
        <is>
          <t>模块供电</t>
        </is>
      </c>
      <c r="D6" s="19" t="inlineStr">
        <is>
          <t>板载 LDO 给 AD8232 芯片</t>
        </is>
      </c>
    </row>
    <row r="7">
      <c r="A7" s="17" t="inlineStr">
        <is>
          <t>3V3</t>
        </is>
      </c>
      <c r="B7" s="17" t="inlineStr">
        <is>
          <t>SDN</t>
        </is>
      </c>
      <c r="C7" s="18" t="inlineStr">
        <is>
          <t>使能脚拉高</t>
        </is>
      </c>
      <c r="D7" s="18" t="inlineStr">
        <is>
          <t>⚠️ SDN=低则芯片睡眠无输出</t>
        </is>
      </c>
    </row>
    <row r="8">
      <c r="A8" s="17" t="inlineStr">
        <is>
          <t>PA0 / ADC1_IN0</t>
        </is>
      </c>
      <c r="B8" s="17" t="inlineStr">
        <is>
          <t>OUTPUT</t>
        </is>
      </c>
      <c r="C8" s="18" t="inlineStr">
        <is>
          <t>EEG 模拟信号</t>
        </is>
      </c>
      <c r="D8" s="18" t="inlineStr">
        <is>
          <t>唯一要采样的通道</t>
        </is>
      </c>
    </row>
    <row r="9">
      <c r="A9" s="5" t="inlineStr">
        <is>
          <t>悬空</t>
        </is>
      </c>
      <c r="B9" s="5" t="inlineStr">
        <is>
          <t>LO-</t>
        </is>
      </c>
      <c r="C9" s="20" t="inlineStr">
        <is>
          <t>导联脱落检测(不用)</t>
        </is>
      </c>
      <c r="D9" s="20" t="inlineStr">
        <is>
          <t>可悬空或接 GND</t>
        </is>
      </c>
    </row>
    <row r="10">
      <c r="A10" s="9" t="inlineStr">
        <is>
          <t>悬空</t>
        </is>
      </c>
      <c r="B10" s="9" t="inlineStr">
        <is>
          <t>LO+</t>
        </is>
      </c>
      <c r="C10" s="19" t="inlineStr">
        <is>
          <t>导联脱落检测(不用)</t>
        </is>
      </c>
      <c r="D10" s="19" t="inlineStr">
        <is>
          <t>可悬空或接 GND</t>
        </is>
      </c>
    </row>
    <row r="11">
      <c r="A11" s="5" t="inlineStr">
        <is>
          <t>5V (USB)</t>
        </is>
      </c>
      <c r="B11" s="5" t="inlineStr">
        <is>
          <t>板载 3.3V LDO 输入</t>
        </is>
      </c>
      <c r="C11" s="20" t="inlineStr">
        <is>
          <t>电源链(可选)</t>
        </is>
      </c>
      <c r="D11" s="20" t="inlineStr">
        <is>
          <t>模块也可由 5V 供电</t>
        </is>
      </c>
    </row>
    <row r="12">
      <c r="A12" s="9" t="inlineStr">
        <is>
          <t>PA9 (USART1_TX)</t>
        </is>
      </c>
      <c r="B12" s="9" t="inlineStr">
        <is>
          <t>USB-TTL RXD</t>
        </is>
      </c>
      <c r="C12" s="19" t="inlineStr">
        <is>
          <t>MCU → PC 数据</t>
        </is>
      </c>
      <c r="D12" s="19" t="inlineStr">
        <is>
          <t>115200-8N1</t>
        </is>
      </c>
    </row>
    <row r="13">
      <c r="A13" s="5" t="inlineStr">
        <is>
          <t>PA10 (USART1_RX)</t>
        </is>
      </c>
      <c r="B13" s="5" t="inlineStr">
        <is>
          <t>USB-TTL TXD</t>
        </is>
      </c>
      <c r="C13" s="20" t="inlineStr">
        <is>
          <t>可选(无 RX 用途)</t>
        </is>
      </c>
      <c r="D13" s="20" t="inlineStr">
        <is>
          <t>保留调试用</t>
        </is>
      </c>
    </row>
    <row r="14">
      <c r="A14" s="9" t="inlineStr">
        <is>
          <t>PC13</t>
        </is>
      </c>
      <c r="B14" s="9" t="inlineStr">
        <is>
          <t>板载 LED</t>
        </is>
      </c>
      <c r="C14" s="19" t="inlineStr">
        <is>
          <t>250Hz 帧状态指示</t>
        </is>
      </c>
      <c r="D14" s="19" t="inlineStr">
        <is>
          <t>低电平点亮</t>
        </is>
      </c>
    </row>
    <row r="15">
      <c r="A15" s="5" t="inlineStr">
        <is>
          <t>—</t>
        </is>
      </c>
      <c r="B15" s="5" t="inlineStr">
        <is>
          <t>RA 插口</t>
        </is>
      </c>
      <c r="C15" s="20" t="inlineStr">
        <is>
          <t>右臂电极</t>
        </is>
      </c>
      <c r="D15" s="20" t="inlineStr">
        <is>
          <t>Einthoven 单通道导联</t>
        </is>
      </c>
    </row>
    <row r="16">
      <c r="A16" s="9" t="inlineStr">
        <is>
          <t>—</t>
        </is>
      </c>
      <c r="B16" s="9" t="inlineStr">
        <is>
          <t>LA 插口</t>
        </is>
      </c>
      <c r="C16" s="19" t="inlineStr">
        <is>
          <t>左臂电极</t>
        </is>
      </c>
      <c r="D16" s="19" t="inlineStr">
        <is>
          <t>枕部 O1/O2 可提升 α 波</t>
        </is>
      </c>
    </row>
    <row r="17">
      <c r="A17" s="5" t="inlineStr">
        <is>
          <t>—</t>
        </is>
      </c>
      <c r="B17" s="5" t="inlineStr">
        <is>
          <t>RL 插口</t>
        </is>
      </c>
      <c r="C17" s="20" t="inlineStr">
        <is>
          <t>右腿电极(驱动参考)</t>
        </is>
      </c>
      <c r="D17" s="20" t="inlineStr">
        <is>
          <t>抑制共模干扰</t>
        </is>
      </c>
    </row>
    <row r="19">
      <c r="A19" s="21" t="inlineStr">
        <is>
          <t>电极安放 (Einthoven 单通道):</t>
        </is>
      </c>
    </row>
    <row r="20">
      <c r="A20" s="22" t="inlineStr">
        <is>
          <t>① 各电极先涂导电膏 ② RA 右臂 / LA 左臂(或枕部 O1O2) / RL 右腿(驱动参考)</t>
        </is>
      </c>
    </row>
    <row r="21">
      <c r="A21" s="3" t="inlineStr">
        <is>
          <t>③ STM32 + AD8232 必须共地  ④ 必须使用隔离电源!</t>
        </is>
      </c>
    </row>
  </sheetData>
  <mergeCells count="2">
    <mergeCell ref="A1:D1"/>
    <mergeCell ref="A2:D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脑波监测器 - EEG 频段配置</t>
        </is>
      </c>
    </row>
    <row r="2">
      <c r="A2" s="2" t="inlineStr">
        <is>
          <t>固件采样率 250Hz | 50Hz 陷波 + 0.5Hz 高通在 host 端 signal_processor.py | AD8232 默认高通 0.5Hz 会削 δ 波低端</t>
        </is>
      </c>
    </row>
    <row r="4">
      <c r="A4" s="4" t="inlineStr">
        <is>
          <t>频段名</t>
        </is>
      </c>
      <c r="B4" s="4" t="inlineStr">
        <is>
          <t>下限 (Hz)</t>
        </is>
      </c>
      <c r="C4" s="4" t="inlineStr">
        <is>
          <t>上限 (Hz)</t>
        </is>
      </c>
      <c r="D4" s="4" t="inlineStr">
        <is>
          <t>典型用途</t>
        </is>
      </c>
    </row>
    <row r="5">
      <c r="A5" s="5" t="inlineStr">
        <is>
          <t>Delta δ</t>
        </is>
      </c>
      <c r="B5" s="23" t="n">
        <v>0.5</v>
      </c>
      <c r="C5" s="23" t="n">
        <v>4</v>
      </c>
      <c r="D5" s="6" t="inlineStr">
        <is>
          <t>深睡眠 / 无意识 (AD8232 默认高通 0.5Hz 会削掉低端)</t>
        </is>
      </c>
    </row>
    <row r="6">
      <c r="A6" s="9" t="inlineStr">
        <is>
          <t>Theta θ</t>
        </is>
      </c>
      <c r="B6" s="24" t="n">
        <v>4</v>
      </c>
      <c r="C6" s="24" t="n">
        <v>8</v>
      </c>
      <c r="D6" s="10" t="inlineStr">
        <is>
          <t>浅睡眠 / 冥想 / 记忆</t>
        </is>
      </c>
    </row>
    <row r="7">
      <c r="A7" s="5" t="inlineStr">
        <is>
          <t>Alpha α</t>
        </is>
      </c>
      <c r="B7" s="23" t="n">
        <v>8</v>
      </c>
      <c r="C7" s="23" t="n">
        <v>12</v>
      </c>
      <c r="D7" s="6" t="inlineStr">
        <is>
          <t>放松清醒 / 闭眼枕部 (不调参也能看到)</t>
        </is>
      </c>
    </row>
    <row r="8">
      <c r="A8" s="9" t="inlineStr">
        <is>
          <t>Beta β</t>
        </is>
      </c>
      <c r="B8" s="24" t="n">
        <v>12</v>
      </c>
      <c r="C8" s="24" t="n">
        <v>30</v>
      </c>
      <c r="D8" s="10" t="inlineStr">
        <is>
          <t>专注 / 活跃思考</t>
        </is>
      </c>
    </row>
    <row r="9">
      <c r="A9" s="5" t="inlineStr">
        <is>
          <t>Gamma γ</t>
        </is>
      </c>
      <c r="B9" s="23" t="n">
        <v>30</v>
      </c>
      <c r="C9" s="23" t="n">
        <v>80</v>
      </c>
      <c r="D9" s="6" t="inlineStr">
        <is>
          <t>高级认知 / 信息整合</t>
        </is>
      </c>
    </row>
  </sheetData>
  <mergeCells count="2">
    <mergeCell ref="A1:D1"/>
    <mergeCell ref="A2:D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2026-10-12T11:40:29Z</dcterms:created>
  <dcterms:modified xsi:type="dcterms:W3CDTF">2026-10-12T11:40:29Z</dcterms:modified>
</cp:coreProperties>
</file>
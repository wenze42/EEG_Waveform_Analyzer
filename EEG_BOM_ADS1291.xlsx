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件清单_BOM" sheetId="1" state="visible" r:id="rId1"/>
    <sheet name="接线表_Wiring" sheetId="2" state="visible" r:id="rId2"/>
    <sheet name="频段配置_B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B7280"/>
      <sz val="9"/>
    </font>
    <font>
      <name val="Arial"/>
      <b val="1"/>
      <color rgb="0016653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66534"/>
      <sz val="10"/>
    </font>
    <font>
      <name val="Arial"/>
      <color rgb="006B7280"/>
      <sz val="9"/>
    </font>
    <font>
      <name val="Arial"/>
      <b val="1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  <fill>
      <patternFill patternType="solid">
        <fgColor rgb="00D6E4F0"/>
      </patternFill>
    </fill>
    <fill>
      <patternFill patternType="solid">
        <fgColor rgb="00FEF2F2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1F4E79"/>
      </top>
      <bottom style="thin">
        <color rgb="00D9DE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7" fillId="6" borderId="2" pivotButton="0" quotePrefix="0" xfId="0"/>
    <xf numFmtId="164" fontId="7" fillId="6" borderId="2" applyAlignment="1" pivotButton="0" quotePrefix="0" xfId="0">
      <alignment horizontal="right" vertical="center"/>
    </xf>
    <xf numFmtId="0" fontId="8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5" fillId="3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6" customWidth="1" min="4" max="4"/>
    <col width="6" customWidth="1" min="5" max="5"/>
    <col width="18" customWidth="1" min="6" max="6"/>
    <col width="14" customWidth="1" min="7" max="7"/>
    <col width="14" customWidth="1" min="8" max="8"/>
    <col width="36" customWidth="1" min="9" max="9"/>
  </cols>
  <sheetData>
    <row r="1">
      <c r="A1" s="1" t="inlineStr">
        <is>
          <t>脑波监测器 - 器件清单 (ADS1291 版本)</t>
        </is>
      </c>
    </row>
    <row r="2">
      <c r="A2" s="2" t="inlineStr">
        <is>
          <t>项目: STM32 + ADS1291 单通道 EEG 监测器 | 采样率 250 SPS | 24-bit 分辨率 | 非医疗级,仅供学习验证</t>
        </is>
      </c>
    </row>
    <row r="3">
      <c r="A3" s="3" t="inlineStr">
        <is>
          <t>✓ ADS1291 内置 50Hz/60Hz 陷波滤波器,无需外部调参电阻</t>
        </is>
      </c>
    </row>
    <row r="5">
      <c r="A5" s="4" t="inlineStr">
        <is>
          <t>序号</t>
        </is>
      </c>
      <c r="B5" s="4" t="inlineStr">
        <is>
          <t>分类</t>
        </is>
      </c>
      <c r="C5" s="4" t="inlineStr">
        <is>
          <t>器件名称</t>
        </is>
      </c>
      <c r="D5" s="4" t="inlineStr">
        <is>
          <t>规格参数</t>
        </is>
      </c>
      <c r="E5" s="4" t="inlineStr">
        <is>
          <t>数量</t>
        </is>
      </c>
      <c r="F5" s="4" t="inlineStr">
        <is>
          <t>位号/参考</t>
        </is>
      </c>
      <c r="G5" s="4" t="inlineStr">
        <is>
          <t>参考单价(USD)</t>
        </is>
      </c>
      <c r="H5" s="4" t="inlineStr">
        <is>
          <t>小计(USD)</t>
        </is>
      </c>
      <c r="I5" s="4" t="inlineStr">
        <is>
          <t>备注</t>
        </is>
      </c>
    </row>
    <row r="6">
      <c r="A6" s="5" t="n">
        <v>1</v>
      </c>
      <c r="B6" s="5" t="inlineStr">
        <is>
          <t>主控</t>
        </is>
      </c>
      <c r="C6" s="6" t="inlineStr">
        <is>
          <t>STM32F103C8T6</t>
        </is>
      </c>
      <c r="D6" s="6" t="inlineStr">
        <is>
          <t>Blue Pill, 72MHz, SPI1, USART1</t>
        </is>
      </c>
      <c r="E6" s="5" t="n">
        <v>1</v>
      </c>
      <c r="F6" s="5" t="inlineStr">
        <is>
          <t>U1</t>
        </is>
      </c>
      <c r="G6" s="7" t="n">
        <v>2.5</v>
      </c>
      <c r="H6" s="8">
        <f>E6*G6</f>
        <v/>
      </c>
      <c r="I6" s="6" t="n"/>
    </row>
    <row r="7">
      <c r="A7" s="9" t="n">
        <v>2</v>
      </c>
      <c r="B7" s="9" t="inlineStr">
        <is>
          <t>模拟前端</t>
        </is>
      </c>
      <c r="C7" s="10" t="inlineStr">
        <is>
          <t>ADS1291 module</t>
        </is>
      </c>
      <c r="D7" s="10" t="inlineStr">
        <is>
          <t>24-bit EEG AFE, built-in RLD + notch filter</t>
        </is>
      </c>
      <c r="E7" s="9" t="n">
        <v>1</v>
      </c>
      <c r="F7" s="9" t="inlineStr">
        <is>
          <t>U2</t>
        </is>
      </c>
      <c r="G7" s="11" t="n">
        <v>12</v>
      </c>
      <c r="H7" s="8">
        <f>E7*G7</f>
        <v/>
      </c>
      <c r="I7" s="10" t="n"/>
    </row>
    <row r="8">
      <c r="A8" s="5" t="n">
        <v>3</v>
      </c>
      <c r="B8" s="5" t="inlineStr">
        <is>
          <t>电极</t>
        </is>
      </c>
      <c r="C8" s="6" t="inlineStr">
        <is>
          <t>Ag/AgCl 电极</t>
        </is>
      </c>
      <c r="D8" s="6" t="inlineStr">
        <is>
          <t>杯状或一次性,含导电膏</t>
        </is>
      </c>
      <c r="E8" s="5" t="n">
        <v>3</v>
      </c>
      <c r="F8" s="5" t="inlineStr">
        <is>
          <t>RA/LA/RL</t>
        </is>
      </c>
      <c r="G8" s="7" t="n">
        <v>0.8</v>
      </c>
      <c r="H8" s="8">
        <f>E8*G8</f>
        <v/>
      </c>
      <c r="I8" s="6" t="n"/>
    </row>
    <row r="9">
      <c r="A9" s="9" t="n">
        <v>4</v>
      </c>
      <c r="B9" s="9" t="inlineStr">
        <is>
          <t>导联线</t>
        </is>
      </c>
      <c r="C9" s="10" t="inlineStr">
        <is>
          <t>屏蔽导联线套件</t>
        </is>
      </c>
      <c r="D9" s="10" t="inlineStr">
        <is>
          <t>按扣或 DIN 接口,~1m,屏蔽</t>
        </is>
      </c>
      <c r="E9" s="9" t="n">
        <v>1</v>
      </c>
      <c r="F9" s="9" t="inlineStr">
        <is>
          <t>J1</t>
        </is>
      </c>
      <c r="G9" s="11" t="n">
        <v>3</v>
      </c>
      <c r="H9" s="8">
        <f>E9*G9</f>
        <v/>
      </c>
      <c r="I9" s="10" t="n"/>
    </row>
    <row r="10">
      <c r="A10" s="5" t="n">
        <v>5</v>
      </c>
      <c r="B10" s="5" t="inlineStr">
        <is>
          <t>耗材</t>
        </is>
      </c>
      <c r="C10" s="6" t="inlineStr">
        <is>
          <t>导电膏</t>
        </is>
      </c>
      <c r="D10" s="6" t="inlineStr">
        <is>
          <t>Ten20 或等效</t>
        </is>
      </c>
      <c r="E10" s="5" t="n">
        <v>1</v>
      </c>
      <c r="F10" s="5" t="inlineStr">
        <is>
          <t>-</t>
        </is>
      </c>
      <c r="G10" s="7" t="n">
        <v>5</v>
      </c>
      <c r="H10" s="8">
        <f>E10*G10</f>
        <v/>
      </c>
      <c r="I10" s="6" t="n"/>
    </row>
    <row r="11">
      <c r="A11" s="9" t="n">
        <v>6</v>
      </c>
      <c r="B11" s="9" t="inlineStr">
        <is>
          <t>通信</t>
        </is>
      </c>
      <c r="C11" s="10" t="inlineStr">
        <is>
          <t>USB-TTL 串口适配器</t>
        </is>
      </c>
      <c r="D11" s="10" t="inlineStr">
        <is>
          <t>CP2102/CH340/FT232, 3.3V 逻辑</t>
        </is>
      </c>
      <c r="E11" s="9" t="n">
        <v>1</v>
      </c>
      <c r="F11" s="9" t="inlineStr">
        <is>
          <t>J2</t>
        </is>
      </c>
      <c r="G11" s="11" t="n">
        <v>1.5</v>
      </c>
      <c r="H11" s="8">
        <f>E11*G11</f>
        <v/>
      </c>
      <c r="I11" s="10" t="n"/>
    </row>
    <row r="12">
      <c r="A12" s="5" t="n">
        <v>7</v>
      </c>
      <c r="B12" s="5" t="inlineStr">
        <is>
          <t>电源</t>
        </is>
      </c>
      <c r="C12" s="6" t="inlineStr">
        <is>
          <t>USB 5V 或 3.3V LDO 模块</t>
        </is>
      </c>
      <c r="D12" s="6" t="inlineStr">
        <is>
          <t>AMS1117-3.3 或同等</t>
        </is>
      </c>
      <c r="E12" s="5" t="n">
        <v>1</v>
      </c>
      <c r="F12" s="5" t="inlineStr">
        <is>
          <t>U3</t>
        </is>
      </c>
      <c r="G12" s="7" t="n">
        <v>0.3</v>
      </c>
      <c r="H12" s="8">
        <f>E12*G12</f>
        <v/>
      </c>
      <c r="I12" s="6" t="n"/>
    </row>
    <row r="13">
      <c r="A13" s="9" t="n">
        <v>8</v>
      </c>
      <c r="B13" s="9" t="inlineStr">
        <is>
          <t>被动元件</t>
        </is>
      </c>
      <c r="C13" s="10" t="inlineStr">
        <is>
          <t>去耦电容</t>
        </is>
      </c>
      <c r="D13" s="10" t="inlineStr">
        <is>
          <t>100nF + 10µF</t>
        </is>
      </c>
      <c r="E13" s="9" t="n">
        <v>2</v>
      </c>
      <c r="F13" s="9" t="inlineStr">
        <is>
          <t>C1,C2</t>
        </is>
      </c>
      <c r="G13" s="11" t="n">
        <v>0.1</v>
      </c>
      <c r="H13" s="8">
        <f>E13*G13</f>
        <v/>
      </c>
      <c r="I13" s="10" t="n"/>
    </row>
    <row r="14">
      <c r="A14" s="5" t="n">
        <v>9</v>
      </c>
      <c r="B14" s="5" t="inlineStr">
        <is>
          <t>被动元件</t>
        </is>
      </c>
      <c r="C14" s="6" t="inlineStr">
        <is>
          <t>参考电容</t>
        </is>
      </c>
      <c r="D14" s="6" t="inlineStr">
        <is>
          <t>10µF 钽电容或陶瓷电容</t>
        </is>
      </c>
      <c r="E14" s="5" t="n">
        <v>1</v>
      </c>
      <c r="F14" s="5" t="inlineStr">
        <is>
          <t>C3</t>
        </is>
      </c>
      <c r="G14" s="7" t="n">
        <v>0.15</v>
      </c>
      <c r="H14" s="8">
        <f>E14*G14</f>
        <v/>
      </c>
      <c r="I14" s="6" t="n"/>
    </row>
    <row r="15">
      <c r="A15" s="9" t="n">
        <v>10</v>
      </c>
      <c r="B15" s="9" t="inlineStr">
        <is>
          <t>指示</t>
        </is>
      </c>
      <c r="C15" s="10" t="inlineStr">
        <is>
          <t>状态 LED</t>
        </is>
      </c>
      <c r="D15" s="10" t="inlineStr">
        <is>
          <t>PC13 板载 LED</t>
        </is>
      </c>
      <c r="E15" s="9" t="n">
        <v>1</v>
      </c>
      <c r="F15" s="9" t="inlineStr">
        <is>
          <t>D1</t>
        </is>
      </c>
      <c r="G15" s="11" t="n">
        <v>0.05</v>
      </c>
      <c r="H15" s="8">
        <f>E15*G15</f>
        <v/>
      </c>
      <c r="I15" s="10" t="n"/>
    </row>
    <row r="16">
      <c r="A16" s="12" t="inlineStr">
        <is>
          <t>合计</t>
        </is>
      </c>
      <c r="B16" s="13" t="n"/>
      <c r="C16" s="13" t="n"/>
      <c r="D16" s="13" t="n"/>
      <c r="E16" s="13" t="n"/>
      <c r="F16" s="13" t="n"/>
      <c r="G16" s="13" t="n"/>
      <c r="H16" s="14">
        <f>SUM(H6:H15)</f>
        <v/>
      </c>
      <c r="I16" s="13" t="n"/>
    </row>
  </sheetData>
  <mergeCells count="4">
    <mergeCell ref="A1:I1"/>
    <mergeCell ref="A3:I3"/>
    <mergeCell ref="A16:G16"/>
    <mergeCell ref="A2:I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36" customWidth="1" min="4" max="4"/>
  </cols>
  <sheetData>
    <row r="1">
      <c r="A1" s="1" t="inlineStr">
        <is>
          <t>脑波监测器 - 接线表 (ADS1291 版本)</t>
        </is>
      </c>
    </row>
    <row r="2">
      <c r="A2" s="15" t="inlineStr">
        <is>
          <t>✓ ADS1291 为数字 SPI 接口,无需 SDN 使能脚,上电即用</t>
        </is>
      </c>
    </row>
    <row r="4">
      <c r="A4" s="4" t="inlineStr">
        <is>
          <t>STM32F103C8T6</t>
        </is>
      </c>
      <c r="B4" s="4" t="inlineStr">
        <is>
          <t>ADS1291 module</t>
        </is>
      </c>
      <c r="C4" s="4" t="inlineStr">
        <is>
          <t>功能</t>
        </is>
      </c>
      <c r="D4" s="4" t="inlineStr">
        <is>
          <t>备注</t>
        </is>
      </c>
    </row>
    <row r="5">
      <c r="A5" s="5" t="inlineStr">
        <is>
          <t>3V3</t>
        </is>
      </c>
      <c r="B5" s="5" t="inlineStr">
        <is>
          <t>DVDD</t>
        </is>
      </c>
      <c r="C5" s="16" t="inlineStr">
        <is>
          <t>数字供电</t>
        </is>
      </c>
      <c r="D5" s="16" t="inlineStr">
        <is>
          <t>ADS1291 数字电源</t>
        </is>
      </c>
    </row>
    <row r="6">
      <c r="A6" s="9" t="inlineStr">
        <is>
          <t>GND</t>
        </is>
      </c>
      <c r="B6" s="9" t="inlineStr">
        <is>
          <t>DGND</t>
        </is>
      </c>
      <c r="C6" s="17" t="inlineStr">
        <is>
          <t>数字地</t>
        </is>
      </c>
      <c r="D6" s="17" t="inlineStr">
        <is>
          <t>必须共地</t>
        </is>
      </c>
    </row>
    <row r="7">
      <c r="A7" s="5" t="inlineStr">
        <is>
          <t>3.3V LDO</t>
        </is>
      </c>
      <c r="B7" s="5" t="inlineStr">
        <is>
          <t>AVDD</t>
        </is>
      </c>
      <c r="C7" s="16" t="inlineStr">
        <is>
          <t>模拟供电</t>
        </is>
      </c>
      <c r="D7" s="16" t="inlineStr">
        <is>
          <t>2.7-5.25V</t>
        </is>
      </c>
    </row>
    <row r="8">
      <c r="A8" s="9" t="inlineStr">
        <is>
          <t>GND</t>
        </is>
      </c>
      <c r="B8" s="9" t="inlineStr">
        <is>
          <t>AGND</t>
        </is>
      </c>
      <c r="C8" s="17" t="inlineStr">
        <is>
          <t>模拟地</t>
        </is>
      </c>
      <c r="D8" s="17" t="inlineStr">
        <is>
          <t>模拟地</t>
        </is>
      </c>
    </row>
    <row r="9">
      <c r="A9" s="5" t="inlineStr">
        <is>
          <t>3.3V LDO</t>
        </is>
      </c>
      <c r="B9" s="5" t="inlineStr">
        <is>
          <t>VREFP</t>
        </is>
      </c>
      <c r="C9" s="16" t="inlineStr">
        <is>
          <t>参考正极</t>
        </is>
      </c>
      <c r="D9" s="16" t="inlineStr">
        <is>
          <t>外部参考电压</t>
        </is>
      </c>
    </row>
    <row r="10">
      <c r="A10" s="9" t="inlineStr">
        <is>
          <t>GND</t>
        </is>
      </c>
      <c r="B10" s="9" t="inlineStr">
        <is>
          <t>VREFN</t>
        </is>
      </c>
      <c r="C10" s="17" t="inlineStr">
        <is>
          <t>参考负极</t>
        </is>
      </c>
      <c r="D10" s="17" t="inlineStr">
        <is>
          <t>参考地</t>
        </is>
      </c>
    </row>
    <row r="11">
      <c r="A11" s="18" t="inlineStr">
        <is>
          <t>PA4 (SPI1_NSS)</t>
        </is>
      </c>
      <c r="B11" s="18" t="inlineStr">
        <is>
          <t>CS</t>
        </is>
      </c>
      <c r="C11" s="19" t="inlineStr">
        <is>
          <t>片选(低有效)</t>
        </is>
      </c>
      <c r="D11" s="19" t="inlineStr">
        <is>
          <t>SPI 片选</t>
        </is>
      </c>
    </row>
    <row r="12">
      <c r="A12" s="18" t="inlineStr">
        <is>
          <t>PA5 (SPI1_SCK)</t>
        </is>
      </c>
      <c r="B12" s="18" t="inlineStr">
        <is>
          <t>SCLK</t>
        </is>
      </c>
      <c r="C12" s="19" t="inlineStr">
        <is>
          <t>SPI 时钟</t>
        </is>
      </c>
      <c r="D12" s="19" t="inlineStr">
        <is>
          <t>1.125 MHz</t>
        </is>
      </c>
    </row>
    <row r="13">
      <c r="A13" s="18" t="inlineStr">
        <is>
          <t>PA6 (SPI1_MISO)</t>
        </is>
      </c>
      <c r="B13" s="18" t="inlineStr">
        <is>
          <t>DOUT</t>
        </is>
      </c>
      <c r="C13" s="19" t="inlineStr">
        <is>
          <t>数据输出</t>
        </is>
      </c>
      <c r="D13" s="19" t="inlineStr">
        <is>
          <t>ADS1291 → STM32</t>
        </is>
      </c>
    </row>
    <row r="14">
      <c r="A14" s="18" t="inlineStr">
        <is>
          <t>PA7 (SPI1_MOSI)</t>
        </is>
      </c>
      <c r="B14" s="18" t="inlineStr">
        <is>
          <t>DIN</t>
        </is>
      </c>
      <c r="C14" s="19" t="inlineStr">
        <is>
          <t>数据输入</t>
        </is>
      </c>
      <c r="D14" s="19" t="inlineStr">
        <is>
          <t>STM32 → ADS1291</t>
        </is>
      </c>
    </row>
    <row r="15">
      <c r="A15" s="18" t="inlineStr">
        <is>
          <t>PA3 (EXTI3)</t>
        </is>
      </c>
      <c r="B15" s="18" t="inlineStr">
        <is>
          <t>DRDY</t>
        </is>
      </c>
      <c r="C15" s="19" t="inlineStr">
        <is>
          <t>数据就绪(下降沿)</t>
        </is>
      </c>
      <c r="D15" s="19" t="inlineStr">
        <is>
          <t>中断触发读取</t>
        </is>
      </c>
    </row>
    <row r="16">
      <c r="A16" s="9" t="inlineStr">
        <is>
          <t>PA9 (USART1_TX)</t>
        </is>
      </c>
      <c r="B16" s="9" t="inlineStr">
        <is>
          <t>USB-TTL RXD</t>
        </is>
      </c>
      <c r="C16" s="17" t="inlineStr">
        <is>
          <t>MCU → PC 数据</t>
        </is>
      </c>
      <c r="D16" s="17" t="inlineStr">
        <is>
          <t>115200-8N1</t>
        </is>
      </c>
    </row>
    <row r="17">
      <c r="A17" s="5" t="inlineStr">
        <is>
          <t>PA10 (USART1_RX)</t>
        </is>
      </c>
      <c r="B17" s="5" t="inlineStr">
        <is>
          <t>USB-TTL TXD</t>
        </is>
      </c>
      <c r="C17" s="16" t="inlineStr">
        <is>
          <t>可选(无 RX 用途)</t>
        </is>
      </c>
      <c r="D17" s="16" t="inlineStr">
        <is>
          <t>保留调试用</t>
        </is>
      </c>
    </row>
    <row r="18">
      <c r="A18" s="9" t="inlineStr">
        <is>
          <t>PC13</t>
        </is>
      </c>
      <c r="B18" s="9" t="inlineStr">
        <is>
          <t>板载 LED</t>
        </is>
      </c>
      <c r="C18" s="17" t="inlineStr">
        <is>
          <t>250Hz 帧状态指示</t>
        </is>
      </c>
      <c r="D18" s="17" t="inlineStr">
        <is>
          <t>低电平点亮</t>
        </is>
      </c>
    </row>
    <row r="19">
      <c r="A19" s="5" t="inlineStr">
        <is>
          <t>—</t>
        </is>
      </c>
      <c r="B19" s="5" t="inlineStr">
        <is>
          <t>IN1P (INP)</t>
        </is>
      </c>
      <c r="C19" s="16" t="inlineStr">
        <is>
          <t>右臂电极</t>
        </is>
      </c>
      <c r="D19" s="16" t="inlineStr">
        <is>
          <t>Einthoven 单通道正极</t>
        </is>
      </c>
    </row>
    <row r="20">
      <c r="A20" s="9" t="inlineStr">
        <is>
          <t>—</t>
        </is>
      </c>
      <c r="B20" s="9" t="inlineStr">
        <is>
          <t>IN1N (INN)</t>
        </is>
      </c>
      <c r="C20" s="17" t="inlineStr">
        <is>
          <t>左臂电极</t>
        </is>
      </c>
      <c r="D20" s="17" t="inlineStr">
        <is>
          <t>Einthoven 单通道负极</t>
        </is>
      </c>
    </row>
    <row r="21">
      <c r="A21" s="5" t="inlineStr">
        <is>
          <t>—</t>
        </is>
      </c>
      <c r="B21" s="5" t="inlineStr">
        <is>
          <t>RLD (RL)</t>
        </is>
      </c>
      <c r="C21" s="16" t="inlineStr">
        <is>
          <t>右腿电极(驱动参考)</t>
        </is>
      </c>
      <c r="D21" s="16" t="inlineStr">
        <is>
          <t>抑制共模干扰</t>
        </is>
      </c>
    </row>
    <row r="23">
      <c r="A23" s="20" t="inlineStr">
        <is>
          <t>电极安放 (Einthoven 单通道):</t>
        </is>
      </c>
    </row>
    <row r="24">
      <c r="A24" s="21" t="inlineStr">
        <is>
          <t>① 各电极先涂导电膏 ② RA 右臂 / LA 左臂(或枕部 O1O2) / RL 右腿(驱动参考)</t>
        </is>
      </c>
    </row>
    <row r="25">
      <c r="A25" s="22" t="inlineStr">
        <is>
          <t>③ STM32 + ADS1291 必须共地  ④ 必须使用隔离电源!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脑波监测器 - EEG 频段配置 (ADS1291 版本)</t>
        </is>
      </c>
    </row>
    <row r="2">
      <c r="A2" s="2" t="inlineStr">
        <is>
          <t>ADS1291 24-bit 分辨率 | 内置 50Hz/60Hz 陷波 | 采样率 250 SPS | host 端仅需 0.5Hz 高通</t>
        </is>
      </c>
    </row>
    <row r="4">
      <c r="A4" s="4" t="inlineStr">
        <is>
          <t>频段名</t>
        </is>
      </c>
      <c r="B4" s="4" t="inlineStr">
        <is>
          <t>下限 (Hz)</t>
        </is>
      </c>
      <c r="C4" s="4" t="inlineStr">
        <is>
          <t>上限 (Hz)</t>
        </is>
      </c>
      <c r="D4" s="4" t="inlineStr">
        <is>
          <t>典型用途</t>
        </is>
      </c>
    </row>
    <row r="5">
      <c r="A5" s="5" t="inlineStr">
        <is>
          <t>Delta δ</t>
        </is>
      </c>
      <c r="B5" s="23" t="n">
        <v>0.5</v>
      </c>
      <c r="C5" s="23" t="n">
        <v>4</v>
      </c>
      <c r="D5" s="6" t="inlineStr">
        <is>
          <t>深睡眠 / 无意识 (ADS1291 24-bit 可直接捕获)</t>
        </is>
      </c>
    </row>
    <row r="6">
      <c r="A6" s="9" t="inlineStr">
        <is>
          <t>Theta θ</t>
        </is>
      </c>
      <c r="B6" s="24" t="n">
        <v>4</v>
      </c>
      <c r="C6" s="24" t="n">
        <v>8</v>
      </c>
      <c r="D6" s="10" t="inlineStr">
        <is>
          <t>浅睡眠 / 冥想 / 记忆</t>
        </is>
      </c>
    </row>
    <row r="7">
      <c r="A7" s="5" t="inlineStr">
        <is>
          <t>Alpha α</t>
        </is>
      </c>
      <c r="B7" s="23" t="n">
        <v>8</v>
      </c>
      <c r="C7" s="23" t="n">
        <v>12</v>
      </c>
      <c r="D7" s="6" t="inlineStr">
        <is>
          <t>放松清醒 / 闭眼枕部</t>
        </is>
      </c>
    </row>
    <row r="8">
      <c r="A8" s="9" t="inlineStr">
        <is>
          <t>Beta β</t>
        </is>
      </c>
      <c r="B8" s="24" t="n">
        <v>12</v>
      </c>
      <c r="C8" s="24" t="n">
        <v>30</v>
      </c>
      <c r="D8" s="10" t="inlineStr">
        <is>
          <t>专注 / 活跃思考</t>
        </is>
      </c>
    </row>
    <row r="9">
      <c r="A9" s="5" t="inlineStr">
        <is>
          <t>Gamma γ</t>
        </is>
      </c>
      <c r="B9" s="23" t="n">
        <v>30</v>
      </c>
      <c r="C9" s="23" t="n">
        <v>80</v>
      </c>
      <c r="D9" s="6" t="inlineStr">
        <is>
          <t>高级认知 / 信息整合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2026-10-12T11:50:01Z</dcterms:created>
  <dcterms:modified xsi:type="dcterms:W3CDTF">2026-10-12T11:50:01Z</dcterms:modified>
</cp:coreProperties>
</file>